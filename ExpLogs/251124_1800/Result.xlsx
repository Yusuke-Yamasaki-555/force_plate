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53\Projects\Research_Master\force_plate\ExpLogs\251124_1800\"/>
    </mc:Choice>
  </mc:AlternateContent>
  <xr:revisionPtr revIDLastSave="0" documentId="13_ncr:1_{65AA7E9A-4324-44F5-8CCB-29AAC8A6E2FF}" xr6:coauthVersionLast="47" xr6:coauthVersionMax="47" xr10:uidLastSave="{00000000-0000-0000-0000-000000000000}"/>
  <bookViews>
    <workbookView xWindow="-108" yWindow="-108" windowWidth="23256" windowHeight="14616" xr2:uid="{2438DD00-2094-44D1-800B-5E5E3A4374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" l="1"/>
  <c r="H18" i="1"/>
  <c r="H17" i="1"/>
  <c r="H16" i="1"/>
  <c r="H15" i="1"/>
  <c r="F19" i="1"/>
  <c r="E19" i="1"/>
  <c r="B19" i="1"/>
  <c r="F18" i="1"/>
  <c r="E18" i="1"/>
  <c r="B18" i="1"/>
  <c r="F15" i="1"/>
  <c r="F16" i="1"/>
  <c r="F17" i="1"/>
  <c r="E17" i="1"/>
  <c r="E16" i="1"/>
  <c r="E15" i="1"/>
  <c r="B17" i="1"/>
  <c r="B16" i="1"/>
  <c r="B15" i="1"/>
</calcChain>
</file>

<file path=xl/sharedStrings.xml><?xml version="1.0" encoding="utf-8"?>
<sst xmlns="http://schemas.openxmlformats.org/spreadsheetml/2006/main" count="22" uniqueCount="11">
  <si>
    <t>平面着地衝撃力</t>
    <rPh sb="0" eb="4">
      <t>ヘイメンチャクチ</t>
    </rPh>
    <rPh sb="4" eb="7">
      <t>ショウゲキリョク</t>
    </rPh>
    <phoneticPr fontId="1"/>
  </si>
  <si>
    <t>足底接地時 [N]</t>
    <rPh sb="0" eb="4">
      <t>アシゾコセッチ</t>
    </rPh>
    <rPh sb="4" eb="5">
      <t>ジ</t>
    </rPh>
    <phoneticPr fontId="1"/>
  </si>
  <si>
    <t>平均</t>
    <rPh sb="0" eb="2">
      <t>ヘイキン</t>
    </rPh>
    <phoneticPr fontId="1"/>
  </si>
  <si>
    <t>中央値</t>
    <rPh sb="0" eb="3">
      <t>チュウオウチ</t>
    </rPh>
    <phoneticPr fontId="1"/>
  </si>
  <si>
    <t>標準偏差</t>
    <rPh sb="0" eb="4">
      <t>ヒョウジュンヘンサ</t>
    </rPh>
    <phoneticPr fontId="1"/>
  </si>
  <si>
    <t>柔軟な足首＋踵接地着地衝撃力</t>
    <rPh sb="6" eb="7">
      <t>カカト</t>
    </rPh>
    <rPh sb="7" eb="9">
      <t>セッチ</t>
    </rPh>
    <rPh sb="9" eb="11">
      <t>チャクチ</t>
    </rPh>
    <rPh sb="11" eb="14">
      <t>ショウゲキリョク</t>
    </rPh>
    <phoneticPr fontId="1"/>
  </si>
  <si>
    <t>踵接地時 [N]</t>
    <rPh sb="0" eb="4">
      <t>カカトセッチジ</t>
    </rPh>
    <phoneticPr fontId="1"/>
  </si>
  <si>
    <t>メモ：接地間隔[step]</t>
    <rPh sb="3" eb="5">
      <t>セッチ</t>
    </rPh>
    <rPh sb="5" eb="7">
      <t>カンカク</t>
    </rPh>
    <phoneticPr fontId="1"/>
  </si>
  <si>
    <t>最大値</t>
    <rPh sb="0" eb="3">
      <t>サイダイチ</t>
    </rPh>
    <phoneticPr fontId="1"/>
  </si>
  <si>
    <t>最小値</t>
    <rPh sb="0" eb="3">
      <t>サイショウチ</t>
    </rPh>
    <phoneticPr fontId="1"/>
  </si>
  <si>
    <t>Excelだと小数点以下が０の数値は整数値として表示されるが，センサ＆プログラムのＦＢ値は1,0とか小数点以下第１位に０が入った実数値になっているっぽいので注意</t>
    <rPh sb="7" eb="12">
      <t>ショウスウテンイカ</t>
    </rPh>
    <rPh sb="15" eb="17">
      <t>スウチ</t>
    </rPh>
    <rPh sb="18" eb="21">
      <t>セイスウチ</t>
    </rPh>
    <rPh sb="24" eb="26">
      <t>ヒョウジ</t>
    </rPh>
    <rPh sb="43" eb="44">
      <t>チ</t>
    </rPh>
    <rPh sb="50" eb="53">
      <t>ショウスウテン</t>
    </rPh>
    <rPh sb="53" eb="55">
      <t>イカ</t>
    </rPh>
    <rPh sb="55" eb="56">
      <t>ダイ</t>
    </rPh>
    <rPh sb="57" eb="58">
      <t>イ</t>
    </rPh>
    <rPh sb="61" eb="62">
      <t>ハイ</t>
    </rPh>
    <rPh sb="64" eb="67">
      <t>ジッスウチ</t>
    </rPh>
    <rPh sb="78" eb="80">
      <t>チュウイ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</si>
</sst>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80" formatCode="0.0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176" fontId="0" fillId="0" borderId="3" xfId="0" applyNumberFormat="1" applyBorder="1">
      <alignment vertical="center"/>
    </xf>
    <xf numFmtId="176" fontId="0" fillId="0" borderId="7" xfId="0" applyNumberFormat="1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176" fontId="0" fillId="0" borderId="13" xfId="0" applyNumberFormat="1" applyBorder="1">
      <alignment vertical="center"/>
    </xf>
    <xf numFmtId="176" fontId="0" fillId="0" borderId="14" xfId="0" applyNumberFormat="1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1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0" xfId="0" applyBorder="1">
      <alignment vertical="center"/>
    </xf>
    <xf numFmtId="0" fontId="0" fillId="0" borderId="23" xfId="0" applyBorder="1">
      <alignment vertical="center"/>
    </xf>
    <xf numFmtId="180" fontId="0" fillId="0" borderId="18" xfId="0" applyNumberFormat="1" applyBorder="1">
      <alignment vertical="center"/>
    </xf>
    <xf numFmtId="180" fontId="0" fillId="0" borderId="7" xfId="0" applyNumberFormat="1" applyBorder="1">
      <alignment vertical="center"/>
    </xf>
    <xf numFmtId="176" fontId="0" fillId="0" borderId="2" xfId="0" applyNumberFormat="1" applyBorder="1">
      <alignment vertical="center"/>
    </xf>
    <xf numFmtId="176" fontId="0" fillId="0" borderId="6" xfId="0" applyNumberFormat="1" applyBorder="1">
      <alignment vertical="center"/>
    </xf>
    <xf numFmtId="2" fontId="0" fillId="0" borderId="20" xfId="0" applyNumberFormat="1" applyBorder="1">
      <alignment vertical="center"/>
    </xf>
    <xf numFmtId="2" fontId="0" fillId="0" borderId="21" xfId="0" applyNumberFormat="1" applyBorder="1">
      <alignment vertical="center"/>
    </xf>
    <xf numFmtId="176" fontId="0" fillId="0" borderId="21" xfId="0" applyNumberForma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A555C-5D63-4691-8849-6A1640474937}">
  <dimension ref="A2:H21"/>
  <sheetViews>
    <sheetView tabSelected="1" workbookViewId="0">
      <selection activeCell="D22" sqref="D22"/>
    </sheetView>
  </sheetViews>
  <sheetFormatPr defaultRowHeight="18" x14ac:dyDescent="0.45"/>
  <cols>
    <col min="2" max="2" width="13.19921875" bestFit="1" customWidth="1"/>
    <col min="5" max="5" width="11.5" customWidth="1"/>
    <col min="6" max="6" width="12.09765625" bestFit="1" customWidth="1"/>
  </cols>
  <sheetData>
    <row r="2" spans="1:8" ht="18.600000000000001" thickBot="1" x14ac:dyDescent="0.5"/>
    <row r="3" spans="1:8" ht="18.600000000000001" thickBot="1" x14ac:dyDescent="0.5">
      <c r="A3" s="9" t="s">
        <v>0</v>
      </c>
      <c r="B3" s="10"/>
      <c r="D3" s="9" t="s">
        <v>5</v>
      </c>
      <c r="E3" s="11"/>
      <c r="F3" s="10"/>
    </row>
    <row r="4" spans="1:8" ht="18.600000000000001" thickBot="1" x14ac:dyDescent="0.5">
      <c r="A4" s="22"/>
      <c r="B4" s="12" t="s">
        <v>1</v>
      </c>
      <c r="D4" s="22"/>
      <c r="E4" s="18" t="s">
        <v>6</v>
      </c>
      <c r="F4" s="8" t="s">
        <v>1</v>
      </c>
      <c r="H4" t="s">
        <v>7</v>
      </c>
    </row>
    <row r="5" spans="1:8" x14ac:dyDescent="0.45">
      <c r="A5" s="23">
        <v>1</v>
      </c>
      <c r="B5" s="13">
        <v>6.6</v>
      </c>
      <c r="D5" s="23">
        <v>1</v>
      </c>
      <c r="E5" s="19">
        <v>2.8</v>
      </c>
      <c r="F5" s="1">
        <v>2.2999999999999998</v>
      </c>
      <c r="H5" s="23">
        <v>94</v>
      </c>
    </row>
    <row r="6" spans="1:8" x14ac:dyDescent="0.45">
      <c r="A6" s="24">
        <v>2</v>
      </c>
      <c r="B6" s="14">
        <v>7.4</v>
      </c>
      <c r="D6" s="24">
        <v>2</v>
      </c>
      <c r="E6" s="20">
        <v>2.6</v>
      </c>
      <c r="F6" s="5">
        <v>2.2000000000000002</v>
      </c>
      <c r="H6" s="24">
        <v>89</v>
      </c>
    </row>
    <row r="7" spans="1:8" x14ac:dyDescent="0.45">
      <c r="A7" s="24">
        <v>3</v>
      </c>
      <c r="B7" s="14">
        <v>7.1</v>
      </c>
      <c r="D7" s="24">
        <v>3</v>
      </c>
      <c r="E7" s="20">
        <v>2.8</v>
      </c>
      <c r="F7" s="29">
        <v>3</v>
      </c>
      <c r="H7" s="24">
        <v>100</v>
      </c>
    </row>
    <row r="8" spans="1:8" x14ac:dyDescent="0.45">
      <c r="A8" s="24">
        <v>4</v>
      </c>
      <c r="B8" s="14">
        <v>7.1</v>
      </c>
      <c r="D8" s="24">
        <v>4</v>
      </c>
      <c r="E8" s="20">
        <v>2.8</v>
      </c>
      <c r="F8" s="5">
        <v>2.1</v>
      </c>
      <c r="H8" s="24">
        <v>93</v>
      </c>
    </row>
    <row r="9" spans="1:8" x14ac:dyDescent="0.45">
      <c r="A9" s="24">
        <v>5</v>
      </c>
      <c r="B9" s="14">
        <v>6.7</v>
      </c>
      <c r="D9" s="24">
        <v>5</v>
      </c>
      <c r="E9" s="20">
        <v>2.7</v>
      </c>
      <c r="F9" s="5">
        <v>2.2000000000000002</v>
      </c>
      <c r="H9" s="24">
        <v>89</v>
      </c>
    </row>
    <row r="10" spans="1:8" x14ac:dyDescent="0.45">
      <c r="A10" s="24">
        <v>6</v>
      </c>
      <c r="B10" s="14">
        <v>7.4</v>
      </c>
      <c r="D10" s="24">
        <v>6</v>
      </c>
      <c r="E10" s="20">
        <v>1.9</v>
      </c>
      <c r="F10" s="5">
        <v>2.8</v>
      </c>
      <c r="H10" s="24">
        <v>93</v>
      </c>
    </row>
    <row r="11" spans="1:8" x14ac:dyDescent="0.45">
      <c r="A11" s="24">
        <v>7</v>
      </c>
      <c r="B11" s="14">
        <v>6.7</v>
      </c>
      <c r="D11" s="24">
        <v>7</v>
      </c>
      <c r="E11" s="20">
        <v>3.3</v>
      </c>
      <c r="F11" s="5">
        <v>2.7</v>
      </c>
      <c r="H11" s="24">
        <v>98</v>
      </c>
    </row>
    <row r="12" spans="1:8" x14ac:dyDescent="0.45">
      <c r="A12" s="24">
        <v>8</v>
      </c>
      <c r="B12" s="14">
        <v>6.4</v>
      </c>
      <c r="D12" s="24">
        <v>8</v>
      </c>
      <c r="E12" s="20">
        <v>2.5</v>
      </c>
      <c r="F12" s="5">
        <v>2.5</v>
      </c>
      <c r="H12" s="24">
        <v>80</v>
      </c>
    </row>
    <row r="13" spans="1:8" x14ac:dyDescent="0.45">
      <c r="A13" s="24">
        <v>9</v>
      </c>
      <c r="B13" s="14">
        <v>7.4</v>
      </c>
      <c r="D13" s="24">
        <v>9</v>
      </c>
      <c r="E13" s="28">
        <v>3</v>
      </c>
      <c r="F13" s="5">
        <v>2.4</v>
      </c>
      <c r="H13" s="24">
        <v>95</v>
      </c>
    </row>
    <row r="14" spans="1:8" ht="18.600000000000001" thickBot="1" x14ac:dyDescent="0.5">
      <c r="A14" s="25">
        <v>10</v>
      </c>
      <c r="B14" s="15">
        <v>7.2</v>
      </c>
      <c r="D14" s="25">
        <v>10</v>
      </c>
      <c r="E14" s="21">
        <v>2.9</v>
      </c>
      <c r="F14" s="3">
        <v>3.1</v>
      </c>
      <c r="H14" s="27">
        <v>103</v>
      </c>
    </row>
    <row r="15" spans="1:8" x14ac:dyDescent="0.45">
      <c r="A15" s="23" t="s">
        <v>2</v>
      </c>
      <c r="B15" s="16">
        <f>AVERAGE($B$5:$B$14)</f>
        <v>7</v>
      </c>
      <c r="D15" s="23" t="s">
        <v>2</v>
      </c>
      <c r="E15" s="30">
        <f>AVERAGE(E$5:E$14)</f>
        <v>2.7299999999999995</v>
      </c>
      <c r="F15" s="6">
        <f>AVERAGE(F$5:F$14)</f>
        <v>2.5300000000000002</v>
      </c>
      <c r="G15" s="26" t="s">
        <v>2</v>
      </c>
      <c r="H15" s="32">
        <f>AVERAGE(H$5:H$14)</f>
        <v>93.4</v>
      </c>
    </row>
    <row r="16" spans="1:8" x14ac:dyDescent="0.45">
      <c r="A16" s="24" t="s">
        <v>3</v>
      </c>
      <c r="B16" s="17">
        <f>MEDIAN($B$5:$B$14)</f>
        <v>7.1</v>
      </c>
      <c r="D16" s="24" t="s">
        <v>3</v>
      </c>
      <c r="E16" s="31">
        <f>MEDIAN(E$5:E$14)</f>
        <v>2.8</v>
      </c>
      <c r="F16" s="7">
        <f>MEDIAN(F$5:F$14)</f>
        <v>2.4500000000000002</v>
      </c>
      <c r="G16" s="26" t="s">
        <v>3</v>
      </c>
      <c r="H16" s="33">
        <f>MEDIAN(H$5:H$14)</f>
        <v>93.5</v>
      </c>
    </row>
    <row r="17" spans="1:8" x14ac:dyDescent="0.45">
      <c r="A17" s="24" t="s">
        <v>4</v>
      </c>
      <c r="B17" s="17">
        <f>_xlfn.STDEV.P($B$5:$B$14)</f>
        <v>0.35213633723318022</v>
      </c>
      <c r="D17" s="24" t="s">
        <v>4</v>
      </c>
      <c r="E17" s="31">
        <f>_xlfn.STDEV.P(E$5:E$14)</f>
        <v>0.34655446902327064</v>
      </c>
      <c r="F17" s="7">
        <f>_xlfn.STDEV.P(F$5:F$14)</f>
        <v>0.33481338085566298</v>
      </c>
      <c r="G17" s="26" t="s">
        <v>4</v>
      </c>
      <c r="H17" s="34">
        <f>_xlfn.STDEV.P(H$5:H$14)</f>
        <v>6.1514225996918794</v>
      </c>
    </row>
    <row r="18" spans="1:8" x14ac:dyDescent="0.45">
      <c r="A18" s="24" t="s">
        <v>8</v>
      </c>
      <c r="B18" s="14">
        <f>MAX(B$5:B$14)</f>
        <v>7.4</v>
      </c>
      <c r="D18" s="24" t="s">
        <v>8</v>
      </c>
      <c r="E18" s="4">
        <f>MAX(E$5:E$14)</f>
        <v>3.3</v>
      </c>
      <c r="F18" s="5">
        <f>MAX(F$5:F$14)</f>
        <v>3.1</v>
      </c>
      <c r="G18" s="26" t="s">
        <v>8</v>
      </c>
      <c r="H18" s="24">
        <f>MAX(H$5:H$14)</f>
        <v>103</v>
      </c>
    </row>
    <row r="19" spans="1:8" ht="18.600000000000001" thickBot="1" x14ac:dyDescent="0.5">
      <c r="A19" s="25" t="s">
        <v>9</v>
      </c>
      <c r="B19" s="15">
        <f>MIN(B$5:B$14)</f>
        <v>6.4</v>
      </c>
      <c r="D19" s="25" t="s">
        <v>9</v>
      </c>
      <c r="E19" s="2">
        <f>MIN(E$5:E$14)</f>
        <v>1.9</v>
      </c>
      <c r="F19" s="3">
        <f>MIN(F$5:F$14)</f>
        <v>2.1</v>
      </c>
      <c r="G19" s="26" t="s">
        <v>9</v>
      </c>
      <c r="H19" s="25">
        <f>MIN(H$5:H$14)</f>
        <v>80</v>
      </c>
    </row>
    <row r="21" spans="1:8" x14ac:dyDescent="0.45">
      <c r="D21" t="s">
        <v>10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山崎　雄介</dc:creator>
  <cp:lastModifiedBy>山崎　雄介</cp:lastModifiedBy>
  <dcterms:created xsi:type="dcterms:W3CDTF">2025-11-28T16:04:42Z</dcterms:created>
  <dcterms:modified xsi:type="dcterms:W3CDTF">2025-11-29T09:46:16Z</dcterms:modified>
</cp:coreProperties>
</file>